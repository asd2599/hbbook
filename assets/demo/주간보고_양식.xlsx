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보고서" sheetId="1" state="visible" r:id="rId1"/>
    <sheet xmlns:r="http://schemas.openxmlformats.org/officeDocument/2006/relationships" name="업무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164194"/>
      <sz val="2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164194"/>
      <sz val="12"/>
    </font>
    <font>
      <name val="맑은 고딕"/>
      <b val="1"/>
      <color rgb="00FFFFFF"/>
      <sz val="10"/>
    </font>
    <font>
      <name val="맑은 고딕"/>
      <b val="1"/>
      <color rgb="00000000"/>
      <sz val="14"/>
    </font>
    <font>
      <name val="맑은 고딕"/>
      <b val="1"/>
      <color rgb="00164194"/>
      <sz val="13"/>
    </font>
  </fonts>
  <fills count="5">
    <fill>
      <patternFill/>
    </fill>
    <fill>
      <patternFill patternType="gray125"/>
    </fill>
    <fill>
      <patternFill patternType="solid">
        <fgColor rgb="00E8EDF7"/>
      </patternFill>
    </fill>
    <fill>
      <patternFill patternType="solid">
        <fgColor rgb="00FFF2CC"/>
      </patternFill>
    </fill>
    <fill>
      <patternFill patternType="solid">
        <fgColor rgb="00164194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8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9" fontId="3" fillId="0" borderId="1" applyAlignment="1" pivotButton="0" quotePrefix="0" xfId="0">
      <alignment horizontal="center" vertical="center"/>
    </xf>
    <xf numFmtId="9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C9" authorId="0" shapeId="0">
      <text>
        <t>업무목록 시트의 데이터를 자동으로 집계합니다. 직접 입력하지 마세요.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2" ht="34" customHeight="1">
      <c r="B2" s="1" t="inlineStr">
        <is>
          <t>팀 업무 주간보고서</t>
        </is>
      </c>
    </row>
    <row r="4">
      <c r="B4" s="2" t="inlineStr">
        <is>
          <t>팀 명</t>
        </is>
      </c>
      <c r="C4" s="3" t="inlineStr">
        <is>
          <t>상품기협2팀</t>
        </is>
      </c>
      <c r="D4" s="2" t="inlineStr">
        <is>
          <t>작성자</t>
        </is>
      </c>
      <c r="E4" s="3" t="inlineStr">
        <is>
          <t>김현대</t>
        </is>
      </c>
      <c r="F4" s="4" t="inlineStr">
        <is>
          <t>← 노란색 칸만 입력하세요</t>
        </is>
      </c>
    </row>
    <row r="5">
      <c r="B5" s="2" t="inlineStr">
        <is>
          <t>보고 기간</t>
        </is>
      </c>
      <c r="C5" s="3" t="inlineStr">
        <is>
          <t>2026-09-01 ~ 2026-09-05</t>
        </is>
      </c>
      <c r="D5" s="2" t="inlineStr">
        <is>
          <t>작성일</t>
        </is>
      </c>
      <c r="E5" s="3" t="inlineStr">
        <is>
          <t>2026-09-05</t>
        </is>
      </c>
    </row>
    <row r="7">
      <c r="B7" s="5" t="inlineStr">
        <is>
          <t>1. 금주 요약</t>
        </is>
      </c>
    </row>
    <row r="8" ht="22" customHeight="1">
      <c r="C8" s="6" t="inlineStr">
        <is>
          <t>전체 업무</t>
        </is>
      </c>
      <c r="D8" s="6" t="inlineStr">
        <is>
          <t>완료</t>
        </is>
      </c>
      <c r="E8" s="6" t="inlineStr">
        <is>
          <t>진행중</t>
        </is>
      </c>
      <c r="F8" s="6" t="inlineStr">
        <is>
          <t>지연</t>
        </is>
      </c>
      <c r="G8" s="6" t="inlineStr">
        <is>
          <t>평균 진척률</t>
        </is>
      </c>
    </row>
    <row r="9" ht="30" customHeight="1">
      <c r="C9" s="7">
        <f>COUNTA(업무목록!D4:D23)</f>
        <v/>
      </c>
      <c r="D9" s="7">
        <f>COUNTIF(업무목록!F4:F23,"완료")</f>
        <v/>
      </c>
      <c r="E9" s="7">
        <f>COUNTIF(업무목록!F4:F23,"진행중")</f>
        <v/>
      </c>
      <c r="F9" s="7">
        <f>COUNTIF(업무목록!F4:F23,"지연")</f>
        <v/>
      </c>
      <c r="G9" s="8">
        <f>IFERROR(AVERAGE(업무목록!G4:G23),0)</f>
        <v/>
      </c>
    </row>
    <row r="11">
      <c r="B11" s="5" t="inlineStr">
        <is>
          <t>2. 금주 주요 실적</t>
        </is>
      </c>
    </row>
    <row r="12">
      <c r="B12" s="6" t="inlineStr">
        <is>
          <t>구분</t>
        </is>
      </c>
      <c r="C12" s="6" t="inlineStr">
        <is>
          <t>내용</t>
        </is>
      </c>
      <c r="D12" s="19" t="n"/>
      <c r="E12" s="19" t="n"/>
      <c r="F12" s="20" t="n"/>
      <c r="G12" s="6" t="inlineStr">
        <is>
          <t>결과 / 산출물</t>
        </is>
      </c>
    </row>
    <row r="13" ht="20" customHeight="1">
      <c r="B13" s="10" t="inlineStr">
        <is>
          <t>기획</t>
        </is>
      </c>
      <c r="C13" s="3" t="inlineStr">
        <is>
          <t>신규 트림 상품성 비교 분석</t>
        </is>
      </c>
      <c r="D13" s="19" t="n"/>
      <c r="E13" s="19" t="n"/>
      <c r="F13" s="20" t="n"/>
      <c r="G13" s="3" t="inlineStr">
        <is>
          <t>비교표 1부</t>
        </is>
      </c>
    </row>
    <row r="14" ht="20" customHeight="1">
      <c r="B14" s="10" t="inlineStr">
        <is>
          <t>협업</t>
        </is>
      </c>
      <c r="C14" s="3" t="inlineStr">
        <is>
          <t>디자인팀 컴러 운영안 협의</t>
        </is>
      </c>
      <c r="D14" s="19" t="n"/>
      <c r="E14" s="19" t="n"/>
      <c r="F14" s="20" t="n"/>
      <c r="G14" s="3" t="inlineStr">
        <is>
          <t>회의록</t>
        </is>
      </c>
    </row>
    <row r="15" ht="20" customHeight="1">
      <c r="B15" s="10" t="inlineStr">
        <is>
          <t>운영</t>
        </is>
      </c>
      <c r="C15" s="3" t="inlineStr">
        <is>
          <t>월간 판매 데이터 정리</t>
        </is>
      </c>
      <c r="D15" s="19" t="n"/>
      <c r="E15" s="19" t="n"/>
      <c r="F15" s="20" t="n"/>
      <c r="G15" s="3" t="inlineStr">
        <is>
          <t>대시보드 갱신</t>
        </is>
      </c>
    </row>
    <row r="17">
      <c r="B17" s="5" t="inlineStr">
        <is>
          <t>3. 차주 계획</t>
        </is>
      </c>
    </row>
    <row r="18">
      <c r="B18" s="6" t="inlineStr">
        <is>
          <t>우선순위</t>
        </is>
      </c>
      <c r="C18" s="6" t="inlineStr">
        <is>
          <t>계획 업무</t>
        </is>
      </c>
      <c r="D18" s="19" t="n"/>
      <c r="E18" s="19" t="n"/>
      <c r="F18" s="20" t="n"/>
      <c r="G18" s="6" t="inlineStr">
        <is>
          <t>완료 목표일</t>
        </is>
      </c>
    </row>
    <row r="19" ht="20" customHeight="1">
      <c r="B19" s="10" t="inlineStr">
        <is>
          <t>1</t>
        </is>
      </c>
      <c r="C19" s="3" t="inlineStr">
        <is>
          <t>트림별 원가 영향 검토</t>
        </is>
      </c>
      <c r="D19" s="19" t="n"/>
      <c r="E19" s="19" t="n"/>
      <c r="F19" s="20" t="n"/>
      <c r="G19" s="10" t="inlineStr">
        <is>
          <t>2026-09-11</t>
        </is>
      </c>
    </row>
    <row r="20" ht="20" customHeight="1">
      <c r="B20" s="10" t="inlineStr">
        <is>
          <t>2</t>
        </is>
      </c>
      <c r="C20" s="3" t="inlineStr">
        <is>
          <t>고객 설문 문항 확정</t>
        </is>
      </c>
      <c r="D20" s="19" t="n"/>
      <c r="E20" s="19" t="n"/>
      <c r="F20" s="20" t="n"/>
      <c r="G20" s="10" t="inlineStr">
        <is>
          <t>2026-09-12</t>
        </is>
      </c>
    </row>
    <row r="21" ht="20" customHeight="1">
      <c r="B21" s="10" t="inlineStr">
        <is>
          <t>3</t>
        </is>
      </c>
      <c r="C21" s="3" t="inlineStr">
        <is>
          <t>차주 팀 회의 자료 준비</t>
        </is>
      </c>
      <c r="D21" s="19" t="n"/>
      <c r="E21" s="19" t="n"/>
      <c r="F21" s="20" t="n"/>
      <c r="G21" s="10" t="inlineStr">
        <is>
          <t>2026-09-09</t>
        </is>
      </c>
    </row>
    <row r="23">
      <c r="B23" s="5" t="inlineStr">
        <is>
          <t>4. 이슈 및 지원 요청</t>
        </is>
      </c>
    </row>
    <row r="24">
      <c r="B24" s="12" t="inlineStr">
        <is>
          <t>· 원가 데이터 확정이 지연되어 트림 비교 최종안이 1일 순연될 수 있습니다.
· 설문 플랫폼 계정 발급을 운영팀에 요청드립니다.</t>
        </is>
      </c>
      <c r="C24" s="21" t="n"/>
      <c r="D24" s="21" t="n"/>
      <c r="E24" s="21" t="n"/>
      <c r="F24" s="21" t="n"/>
      <c r="G24" s="22" t="n"/>
    </row>
    <row r="25">
      <c r="B25" s="23" t="n"/>
      <c r="G25" s="24" t="n"/>
    </row>
    <row r="26">
      <c r="B26" s="25" t="n"/>
      <c r="C26" s="26" t="n"/>
      <c r="D26" s="26" t="n"/>
      <c r="E26" s="26" t="n"/>
      <c r="F26" s="26" t="n"/>
      <c r="G26" s="27" t="n"/>
    </row>
    <row r="28">
      <c r="B28" s="4" t="inlineStr">
        <is>
          <t>※ 교육용 예시 데이터입니다. 실제 사내 자료가 아닙니다.</t>
        </is>
      </c>
    </row>
  </sheetData>
  <mergeCells count="16">
    <mergeCell ref="C13:F13"/>
    <mergeCell ref="B2:G2"/>
    <mergeCell ref="C18:F18"/>
    <mergeCell ref="F4:G4"/>
    <mergeCell ref="B24:G26"/>
    <mergeCell ref="B28:G28"/>
    <mergeCell ref="C20:F20"/>
    <mergeCell ref="C12:F12"/>
    <mergeCell ref="B17:G17"/>
    <mergeCell ref="B23:G23"/>
    <mergeCell ref="C21:F21"/>
    <mergeCell ref="C15:F15"/>
    <mergeCell ref="C14:F14"/>
    <mergeCell ref="C19:F19"/>
    <mergeCell ref="B7:G7"/>
    <mergeCell ref="B11:G1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30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2" ht="28" customHeight="1">
      <c r="B2" s="14" t="inlineStr">
        <is>
          <t>업무 목록 (이 시트를 채우면 주간보고서가 자동으로 집계됩니다)</t>
        </is>
      </c>
    </row>
    <row r="3" ht="24" customHeight="1">
      <c r="B3" s="6" t="inlineStr">
        <is>
          <t>No</t>
        </is>
      </c>
      <c r="C3" s="6" t="inlineStr">
        <is>
          <t>구분</t>
        </is>
      </c>
      <c r="D3" s="6" t="inlineStr">
        <is>
          <t>업무명</t>
        </is>
      </c>
      <c r="E3" s="6" t="inlineStr">
        <is>
          <t>담당자</t>
        </is>
      </c>
      <c r="F3" s="6" t="inlineStr">
        <is>
          <t>상태</t>
        </is>
      </c>
      <c r="G3" s="6" t="inlineStr">
        <is>
          <t>진척률</t>
        </is>
      </c>
      <c r="H3" s="6" t="inlineStr">
        <is>
          <t>시작일</t>
        </is>
      </c>
      <c r="I3" s="6" t="inlineStr">
        <is>
          <t>마감일</t>
        </is>
      </c>
      <c r="J3" s="6" t="inlineStr">
        <is>
          <t>비고</t>
        </is>
      </c>
    </row>
    <row r="4">
      <c r="B4" s="15" t="n">
        <v>1</v>
      </c>
      <c r="C4" s="15" t="inlineStr">
        <is>
          <t>기획</t>
        </is>
      </c>
      <c r="D4" s="16" t="inlineStr">
        <is>
          <t>2027년형 신규 트림 상품성 비교 분석</t>
        </is>
      </c>
      <c r="E4" s="15" t="inlineStr">
        <is>
          <t>김현대</t>
        </is>
      </c>
      <c r="F4" s="15" t="inlineStr">
        <is>
          <t>완료</t>
        </is>
      </c>
      <c r="G4" s="17" t="n">
        <v>1</v>
      </c>
      <c r="H4" s="15" t="inlineStr">
        <is>
          <t>2026-08-31</t>
        </is>
      </c>
      <c r="I4" s="15" t="inlineStr">
        <is>
          <t>2026-09-04</t>
        </is>
      </c>
      <c r="J4" s="16" t="inlineStr">
        <is>
          <t>비교표 1부 산출</t>
        </is>
      </c>
    </row>
    <row r="5">
      <c r="B5" s="15" t="n">
        <v>2</v>
      </c>
      <c r="C5" s="15" t="inlineStr">
        <is>
          <t>기획</t>
        </is>
      </c>
      <c r="D5" s="16" t="inlineStr">
        <is>
          <t>고객 설문 문항 초안 작성</t>
        </is>
      </c>
      <c r="E5" s="15" t="inlineStr">
        <is>
          <t>이서연</t>
        </is>
      </c>
      <c r="F5" s="15" t="inlineStr">
        <is>
          <t>진행중</t>
        </is>
      </c>
      <c r="G5" s="17" t="n">
        <v>0.6</v>
      </c>
      <c r="H5" s="15" t="inlineStr">
        <is>
          <t>2026-09-01</t>
        </is>
      </c>
      <c r="I5" s="15" t="inlineStr">
        <is>
          <t>2026-09-12</t>
        </is>
      </c>
      <c r="J5" s="16" t="inlineStr"/>
    </row>
    <row r="6">
      <c r="B6" s="15" t="n">
        <v>3</v>
      </c>
      <c r="C6" s="15" t="inlineStr">
        <is>
          <t>협업</t>
        </is>
      </c>
      <c r="D6" s="16" t="inlineStr">
        <is>
          <t>디자인팀 컴러 운영안 협의</t>
        </is>
      </c>
      <c r="E6" s="15" t="inlineStr">
        <is>
          <t>김현대</t>
        </is>
      </c>
      <c r="F6" s="15" t="inlineStr">
        <is>
          <t>완료</t>
        </is>
      </c>
      <c r="G6" s="17" t="n">
        <v>1</v>
      </c>
      <c r="H6" s="15" t="inlineStr">
        <is>
          <t>2026-09-02</t>
        </is>
      </c>
      <c r="I6" s="15" t="inlineStr">
        <is>
          <t>2026-09-03</t>
        </is>
      </c>
      <c r="J6" s="16" t="inlineStr">
        <is>
          <t>회의록 공유 완료</t>
        </is>
      </c>
    </row>
    <row r="7">
      <c r="B7" s="15" t="n">
        <v>4</v>
      </c>
      <c r="C7" s="15" t="inlineStr">
        <is>
          <t>운영</t>
        </is>
      </c>
      <c r="D7" s="16" t="inlineStr">
        <is>
          <t>월간 판매 데이터 정리</t>
        </is>
      </c>
      <c r="E7" s="15" t="inlineStr">
        <is>
          <t>박지훈</t>
        </is>
      </c>
      <c r="F7" s="15" t="inlineStr">
        <is>
          <t>완료</t>
        </is>
      </c>
      <c r="G7" s="17" t="n">
        <v>1</v>
      </c>
      <c r="H7" s="15" t="inlineStr">
        <is>
          <t>2026-09-01</t>
        </is>
      </c>
      <c r="I7" s="15" t="inlineStr">
        <is>
          <t>2026-09-04</t>
        </is>
      </c>
      <c r="J7" s="16" t="inlineStr">
        <is>
          <t>대시보드 갱신</t>
        </is>
      </c>
    </row>
    <row r="8">
      <c r="B8" s="15" t="n">
        <v>5</v>
      </c>
      <c r="C8" s="15" t="inlineStr">
        <is>
          <t>분석</t>
        </is>
      </c>
      <c r="D8" s="16" t="inlineStr">
        <is>
          <t>트림별 원가 영향 검토</t>
        </is>
      </c>
      <c r="E8" s="15" t="inlineStr">
        <is>
          <t>박지훈</t>
        </is>
      </c>
      <c r="F8" s="15" t="inlineStr">
        <is>
          <t>지연</t>
        </is>
      </c>
      <c r="G8" s="17" t="n">
        <v>0.3</v>
      </c>
      <c r="H8" s="15" t="inlineStr">
        <is>
          <t>2026-08-24</t>
        </is>
      </c>
      <c r="I8" s="15" t="inlineStr">
        <is>
          <t>2026-09-02</t>
        </is>
      </c>
      <c r="J8" s="16" t="inlineStr">
        <is>
          <t>원가 데이터 수신 지연</t>
        </is>
      </c>
    </row>
    <row r="9">
      <c r="B9" s="15" t="n">
        <v>6</v>
      </c>
      <c r="C9" s="15" t="inlineStr">
        <is>
          <t>운영</t>
        </is>
      </c>
      <c r="D9" s="16" t="inlineStr">
        <is>
          <t>차주 팀 회의 자료 준비</t>
        </is>
      </c>
      <c r="E9" s="15" t="inlineStr">
        <is>
          <t>이서연</t>
        </is>
      </c>
      <c r="F9" s="15" t="inlineStr">
        <is>
          <t>진행중</t>
        </is>
      </c>
      <c r="G9" s="17" t="n">
        <v>0.4</v>
      </c>
      <c r="H9" s="15" t="inlineStr">
        <is>
          <t>2026-09-04</t>
        </is>
      </c>
      <c r="I9" s="15" t="inlineStr">
        <is>
          <t>2026-09-09</t>
        </is>
      </c>
      <c r="J9" s="16" t="inlineStr"/>
    </row>
    <row r="10">
      <c r="B10" s="15" t="n">
        <v>7</v>
      </c>
      <c r="C10" s="15" t="inlineStr">
        <is>
          <t>분석</t>
        </is>
      </c>
      <c r="D10" s="16" t="inlineStr">
        <is>
          <t>경쟁차종 사양 비교표 업데이트</t>
        </is>
      </c>
      <c r="E10" s="15" t="inlineStr">
        <is>
          <t>최민우</t>
        </is>
      </c>
      <c r="F10" s="15" t="inlineStr">
        <is>
          <t>진행중</t>
        </is>
      </c>
      <c r="G10" s="17" t="n">
        <v>0.75</v>
      </c>
      <c r="H10" s="15" t="inlineStr">
        <is>
          <t>2026-08-28</t>
        </is>
      </c>
      <c r="I10" s="15" t="inlineStr">
        <is>
          <t>2026-09-10</t>
        </is>
      </c>
      <c r="J10" s="16" t="inlineStr"/>
    </row>
    <row r="11">
      <c r="B11" s="15" t="n">
        <v>8</v>
      </c>
      <c r="C11" s="15" t="inlineStr">
        <is>
          <t>운영</t>
        </is>
      </c>
      <c r="D11" s="16" t="inlineStr">
        <is>
          <t>설문 플랫폼 계정 발급 요청</t>
        </is>
      </c>
      <c r="E11" s="15" t="inlineStr">
        <is>
          <t>이서연</t>
        </is>
      </c>
      <c r="F11" s="15" t="inlineStr">
        <is>
          <t>지연</t>
        </is>
      </c>
      <c r="G11" s="17" t="n">
        <v>0</v>
      </c>
      <c r="H11" s="15" t="inlineStr">
        <is>
          <t>2026-08-27</t>
        </is>
      </c>
      <c r="I11" s="15" t="inlineStr">
        <is>
          <t>2026-09-01</t>
        </is>
      </c>
      <c r="J11" s="16" t="inlineStr">
        <is>
          <t>운영팀 회신 대기</t>
        </is>
      </c>
    </row>
    <row r="12">
      <c r="B12" s="11" t="n"/>
      <c r="C12" s="11" t="n"/>
      <c r="D12" s="11" t="n"/>
      <c r="E12" s="11" t="n"/>
      <c r="F12" s="11" t="n"/>
      <c r="G12" s="18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8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8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8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8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8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8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8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8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8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8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8" t="n"/>
      <c r="H23" s="11" t="n"/>
      <c r="I23" s="11" t="n"/>
      <c r="J23" s="11" t="n"/>
    </row>
    <row r="25">
      <c r="B25" s="4" t="inlineStr">
        <is>
          <t>※ 상태는 완료 / 진행중 / 지연 / 보류 중에서 선택합니다. 진척률은 0~100% 로 입력합니다.</t>
        </is>
      </c>
    </row>
    <row r="26">
      <c r="B26" s="4" t="inlineStr">
        <is>
          <t>※ 교육용 예시 데이터입니다. 실제 사내 자료가 아닙니다.</t>
        </is>
      </c>
    </row>
  </sheetData>
  <mergeCells count="3">
    <mergeCell ref="B26:J26"/>
    <mergeCell ref="B25:J25"/>
    <mergeCell ref="B2:J2"/>
  </mergeCells>
  <dataValidations count="1">
    <dataValidation sqref="F4:F23" showDropDown="0" showInputMessage="0" showErrorMessage="0" allowBlank="1" type="list">
      <formula1>"완료,진행중,지연,보류"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2026-09-05T05:42:34Z</dcterms:created>
  <dcterms:modified xmlns:dcterms="http://purl.org/dc/terms/" xmlns:xsi="http://www.w3.org/2001/XMLSchema-instance" xsi:type="dcterms:W3CDTF">2026-09-05T05:42:51Z</dcterms:modified>
</cp:coreProperties>
</file>